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本预估利润表" sheetId="1" state="visible" r:id="rId1"/>
    <sheet xmlns:r="http://schemas.openxmlformats.org/officeDocument/2006/relationships" name="参数与逻辑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'日本预估利润表'!$A$4:$V$24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DF5FF"/>
      </patternFill>
    </fill>
    <fill>
      <patternFill patternType="solid">
        <fgColor rgb="00EDF7EF"/>
      </patternFill>
    </fill>
    <fill>
      <patternFill patternType="solid">
        <fgColor rgb="001977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0" applyAlignment="1" pivotButton="0" quotePrefix="0" xfId="0">
      <alignment wrapText="1"/>
    </xf>
    <xf numFmtId="0" fontId="0" fillId="2" borderId="0" pivotButton="0" quotePrefix="0" xfId="0"/>
    <xf numFmtId="2" fontId="0" fillId="2" borderId="0" pivotButton="0" quotePrefix="0" xfId="0"/>
    <xf numFmtId="2" fontId="0" fillId="3" borderId="0" pivotButton="0" quotePrefix="0" xfId="0"/>
    <xf numFmtId="10" fontId="0" fillId="3" borderId="0" pivotButton="0" quotePrefix="0" xfId="0"/>
    <xf numFmtId="10" fontId="0" fillId="0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</cols>
  <sheetData>
    <row r="1">
      <c r="A1" t="inlineStr">
        <is>
          <t>日本头程预估贡献利润表 · 一张表只计算一票货</t>
        </is>
      </c>
    </row>
    <row r="2">
      <c r="A2" t="inlineStr">
        <is>
          <t>蓝色 A–I 列为输入，绿色 J–V 列为公式。删除示例行输入值后填真实数据；每行数据须完整，否则显示 #N/A。</t>
        </is>
      </c>
    </row>
    <row r="3">
      <c r="A3" t="inlineStr">
        <is>
          <t>这是离线计算器，不是网站上传模板。网站上传请下载「头程利润预估」CSV 模板；英国、德国规则尚未提供。</t>
        </is>
      </c>
    </row>
    <row r="4" ht="34" customHeight="1">
      <c r="A4" s="1" t="inlineStr">
        <is>
          <t>产品名称</t>
        </is>
      </c>
      <c r="B4" s="1" t="inlineStr">
        <is>
          <t>MSKU</t>
        </is>
      </c>
      <c r="C4" s="1" t="inlineStr">
        <is>
          <t>数量</t>
        </is>
      </c>
      <c r="D4" s="1" t="inlineStr">
        <is>
          <t>总CBM</t>
        </is>
      </c>
      <c r="E4" s="1" t="inlineStr">
        <is>
          <t>箱数</t>
        </is>
      </c>
      <c r="F4" s="1" t="inlineStr">
        <is>
          <t>出厂价RMB/件</t>
        </is>
      </c>
      <c r="G4" s="1" t="inlineStr">
        <is>
          <t>申报售价JPY/件</t>
        </is>
      </c>
      <c r="H4" s="1" t="inlineStr">
        <is>
          <t>销售价JPY/件</t>
        </is>
      </c>
      <c r="I4" s="1" t="inlineStr">
        <is>
          <t>平台佣金及尾程JPY/件</t>
        </is>
      </c>
      <c r="J4" s="1" t="inlineStr">
        <is>
          <t>海运RMB</t>
        </is>
      </c>
      <c r="K4" s="1" t="inlineStr">
        <is>
          <t>国内RMB</t>
        </is>
      </c>
      <c r="L4" s="1" t="inlineStr">
        <is>
          <t>税金JPY</t>
        </is>
      </c>
      <c r="M4" s="1" t="inlineStr">
        <is>
          <t>税金RMB</t>
        </is>
      </c>
      <c r="N4" s="1" t="inlineStr">
        <is>
          <t>贴标RMB</t>
        </is>
      </c>
      <c r="O4" s="1" t="inlineStr">
        <is>
          <t>固定费分摊RMB</t>
        </is>
      </c>
      <c r="P4" s="1" t="inlineStr">
        <is>
          <t>头程总RMB</t>
        </is>
      </c>
      <c r="Q4" s="1" t="inlineStr">
        <is>
          <t>单件头程RMB</t>
        </is>
      </c>
      <c r="R4" s="1" t="inlineStr">
        <is>
          <t>采购总RMB</t>
        </is>
      </c>
      <c r="S4" s="1" t="inlineStr">
        <is>
          <t>销售额RMB</t>
        </is>
      </c>
      <c r="T4" s="1" t="inlineStr">
        <is>
          <t>平台总RMB</t>
        </is>
      </c>
      <c r="U4" s="1" t="inlineStr">
        <is>
          <t>贡献利润RMB</t>
        </is>
      </c>
      <c r="V4" s="1" t="inlineStr">
        <is>
          <t>贡献利润率</t>
        </is>
      </c>
    </row>
    <row r="5">
      <c r="A5" s="2" t="inlineStr">
        <is>
          <t>示例产品1</t>
        </is>
      </c>
      <c r="B5" s="2" t="inlineStr">
        <is>
          <t>EXAMPLE-1</t>
        </is>
      </c>
      <c r="C5" s="2" t="n">
        <v>100</v>
      </c>
      <c r="D5" s="3" t="n">
        <v>1</v>
      </c>
      <c r="E5" s="3" t="n">
        <v>10</v>
      </c>
      <c r="F5" s="3" t="n">
        <v>20</v>
      </c>
      <c r="G5" s="3" t="n">
        <v>2000</v>
      </c>
      <c r="H5" s="3" t="n">
        <v>3000</v>
      </c>
      <c r="I5" s="3" t="n">
        <v>800</v>
      </c>
      <c r="J5" s="4">
        <f>IF(COUNTA(A5:I5)=0,"",IF(OR(COUNT(C5:I5)&lt;&gt;7,C5&lt;=0,D5&lt;=0,E5&lt;=0),NA(),D5*'参数与逻辑'!$B$2))</f>
        <v/>
      </c>
      <c r="K5" s="4">
        <f>IF(J5="","",D5*'参数与逻辑'!$B$3)</f>
        <v/>
      </c>
      <c r="L5" s="4">
        <f>IF(J5="","",G5*C5*'参数与逻辑'!$B$4*'参数与逻辑'!$B$5)</f>
        <v/>
      </c>
      <c r="M5" s="4">
        <f>IF(J5="","",L5*'参数与逻辑'!$B$9)</f>
        <v/>
      </c>
      <c r="N5" s="4">
        <f>IF(J5="","",E5*'参数与逻辑'!$B$6)</f>
        <v/>
      </c>
      <c r="O5" s="4">
        <f>IF(J5="","",('参数与逻辑'!$B$7+'参数与逻辑'!$B$8)*D5/SUM($D$5:$D$24))</f>
        <v/>
      </c>
      <c r="P5" s="4">
        <f>IF(J5="","",J5+K5+M5+N5+O5)</f>
        <v/>
      </c>
      <c r="Q5" s="4">
        <f>IF(J5="","",P5/C5)</f>
        <v/>
      </c>
      <c r="R5" s="4">
        <f>IF(J5="","",F5*C5)</f>
        <v/>
      </c>
      <c r="S5" s="4">
        <f>IF(J5="","",H5*C5*'参数与逻辑'!$B$9)</f>
        <v/>
      </c>
      <c r="T5" s="4">
        <f>IF(J5="","",I5*C5*'参数与逻辑'!$B$9)</f>
        <v/>
      </c>
      <c r="U5" s="4">
        <f>IF(J5="","",S5-R5-P5-T5)</f>
        <v/>
      </c>
      <c r="V5" s="5">
        <f>IF(J5="","",IF(S5=0,"",U5/S5))</f>
        <v/>
      </c>
    </row>
    <row r="6">
      <c r="A6" s="2" t="inlineStr">
        <is>
          <t>示例产品2</t>
        </is>
      </c>
      <c r="B6" s="2" t="inlineStr">
        <is>
          <t>EXAMPLE-2</t>
        </is>
      </c>
      <c r="C6" s="2" t="n">
        <v>100</v>
      </c>
      <c r="D6" s="3" t="n">
        <v>3</v>
      </c>
      <c r="E6" s="3" t="n">
        <v>10</v>
      </c>
      <c r="F6" s="3" t="n">
        <v>20</v>
      </c>
      <c r="G6" s="3" t="n">
        <v>2000</v>
      </c>
      <c r="H6" s="3" t="n">
        <v>3000</v>
      </c>
      <c r="I6" s="3" t="n">
        <v>800</v>
      </c>
      <c r="J6" s="4">
        <f>IF(COUNTA(A6:I6)=0,"",IF(OR(COUNT(C6:I6)&lt;&gt;7,C6&lt;=0,D6&lt;=0,E6&lt;=0),NA(),D6*'参数与逻辑'!$B$2))</f>
        <v/>
      </c>
      <c r="K6" s="4">
        <f>IF(J6="","",D6*'参数与逻辑'!$B$3)</f>
        <v/>
      </c>
      <c r="L6" s="4">
        <f>IF(J6="","",G6*C6*'参数与逻辑'!$B$4*'参数与逻辑'!$B$5)</f>
        <v/>
      </c>
      <c r="M6" s="4">
        <f>IF(J6="","",L6*'参数与逻辑'!$B$9)</f>
        <v/>
      </c>
      <c r="N6" s="4">
        <f>IF(J6="","",E6*'参数与逻辑'!$B$6)</f>
        <v/>
      </c>
      <c r="O6" s="4">
        <f>IF(J6="","",('参数与逻辑'!$B$7+'参数与逻辑'!$B$8)*D6/SUM($D$5:$D$24))</f>
        <v/>
      </c>
      <c r="P6" s="4">
        <f>IF(J6="","",J6+K6+M6+N6+O6)</f>
        <v/>
      </c>
      <c r="Q6" s="4">
        <f>IF(J6="","",P6/C6)</f>
        <v/>
      </c>
      <c r="R6" s="4">
        <f>IF(J6="","",F6*C6)</f>
        <v/>
      </c>
      <c r="S6" s="4">
        <f>IF(J6="","",H6*C6*'参数与逻辑'!$B$9)</f>
        <v/>
      </c>
      <c r="T6" s="4">
        <f>IF(J6="","",I6*C6*'参数与逻辑'!$B$9)</f>
        <v/>
      </c>
      <c r="U6" s="4">
        <f>IF(J6="","",S6-R6-P6-T6)</f>
        <v/>
      </c>
      <c r="V6" s="5">
        <f>IF(J6="","",IF(S6=0,"",U6/S6))</f>
        <v/>
      </c>
    </row>
    <row r="7">
      <c r="A7" s="2" t="n"/>
      <c r="B7" s="2" t="n"/>
      <c r="C7" s="2" t="n"/>
      <c r="D7" s="3" t="n"/>
      <c r="E7" s="3" t="n"/>
      <c r="F7" s="3" t="n"/>
      <c r="G7" s="3" t="n"/>
      <c r="H7" s="3" t="n"/>
      <c r="I7" s="3" t="n"/>
      <c r="J7" s="4">
        <f>IF(COUNTA(A7:I7)=0,"",IF(OR(COUNT(C7:I7)&lt;&gt;7,C7&lt;=0,D7&lt;=0,E7&lt;=0),NA(),D7*'参数与逻辑'!$B$2))</f>
        <v/>
      </c>
      <c r="K7" s="4">
        <f>IF(J7="","",D7*'参数与逻辑'!$B$3)</f>
        <v/>
      </c>
      <c r="L7" s="4">
        <f>IF(J7="","",G7*C7*'参数与逻辑'!$B$4*'参数与逻辑'!$B$5)</f>
        <v/>
      </c>
      <c r="M7" s="4">
        <f>IF(J7="","",L7*'参数与逻辑'!$B$9)</f>
        <v/>
      </c>
      <c r="N7" s="4">
        <f>IF(J7="","",E7*'参数与逻辑'!$B$6)</f>
        <v/>
      </c>
      <c r="O7" s="4">
        <f>IF(J7="","",('参数与逻辑'!$B$7+'参数与逻辑'!$B$8)*D7/SUM($D$5:$D$24))</f>
        <v/>
      </c>
      <c r="P7" s="4">
        <f>IF(J7="","",J7+K7+M7+N7+O7)</f>
        <v/>
      </c>
      <c r="Q7" s="4">
        <f>IF(J7="","",P7/C7)</f>
        <v/>
      </c>
      <c r="R7" s="4">
        <f>IF(J7="","",F7*C7)</f>
        <v/>
      </c>
      <c r="S7" s="4">
        <f>IF(J7="","",H7*C7*'参数与逻辑'!$B$9)</f>
        <v/>
      </c>
      <c r="T7" s="4">
        <f>IF(J7="","",I7*C7*'参数与逻辑'!$B$9)</f>
        <v/>
      </c>
      <c r="U7" s="4">
        <f>IF(J7="","",S7-R7-P7-T7)</f>
        <v/>
      </c>
      <c r="V7" s="5">
        <f>IF(J7="","",IF(S7=0,"",U7/S7))</f>
        <v/>
      </c>
    </row>
    <row r="8">
      <c r="A8" s="2" t="n"/>
      <c r="B8" s="2" t="n"/>
      <c r="C8" s="2" t="n"/>
      <c r="D8" s="3" t="n"/>
      <c r="E8" s="3" t="n"/>
      <c r="F8" s="3" t="n"/>
      <c r="G8" s="3" t="n"/>
      <c r="H8" s="3" t="n"/>
      <c r="I8" s="3" t="n"/>
      <c r="J8" s="4">
        <f>IF(COUNTA(A8:I8)=0,"",IF(OR(COUNT(C8:I8)&lt;&gt;7,C8&lt;=0,D8&lt;=0,E8&lt;=0),NA(),D8*'参数与逻辑'!$B$2))</f>
        <v/>
      </c>
      <c r="K8" s="4">
        <f>IF(J8="","",D8*'参数与逻辑'!$B$3)</f>
        <v/>
      </c>
      <c r="L8" s="4">
        <f>IF(J8="","",G8*C8*'参数与逻辑'!$B$4*'参数与逻辑'!$B$5)</f>
        <v/>
      </c>
      <c r="M8" s="4">
        <f>IF(J8="","",L8*'参数与逻辑'!$B$9)</f>
        <v/>
      </c>
      <c r="N8" s="4">
        <f>IF(J8="","",E8*'参数与逻辑'!$B$6)</f>
        <v/>
      </c>
      <c r="O8" s="4">
        <f>IF(J8="","",('参数与逻辑'!$B$7+'参数与逻辑'!$B$8)*D8/SUM($D$5:$D$24))</f>
        <v/>
      </c>
      <c r="P8" s="4">
        <f>IF(J8="","",J8+K8+M8+N8+O8)</f>
        <v/>
      </c>
      <c r="Q8" s="4">
        <f>IF(J8="","",P8/C8)</f>
        <v/>
      </c>
      <c r="R8" s="4">
        <f>IF(J8="","",F8*C8)</f>
        <v/>
      </c>
      <c r="S8" s="4">
        <f>IF(J8="","",H8*C8*'参数与逻辑'!$B$9)</f>
        <v/>
      </c>
      <c r="T8" s="4">
        <f>IF(J8="","",I8*C8*'参数与逻辑'!$B$9)</f>
        <v/>
      </c>
      <c r="U8" s="4">
        <f>IF(J8="","",S8-R8-P8-T8)</f>
        <v/>
      </c>
      <c r="V8" s="5">
        <f>IF(J8="","",IF(S8=0,"",U8/S8))</f>
        <v/>
      </c>
    </row>
    <row r="9">
      <c r="A9" s="2" t="n"/>
      <c r="B9" s="2" t="n"/>
      <c r="C9" s="2" t="n"/>
      <c r="D9" s="3" t="n"/>
      <c r="E9" s="3" t="n"/>
      <c r="F9" s="3" t="n"/>
      <c r="G9" s="3" t="n"/>
      <c r="H9" s="3" t="n"/>
      <c r="I9" s="3" t="n"/>
      <c r="J9" s="4">
        <f>IF(COUNTA(A9:I9)=0,"",IF(OR(COUNT(C9:I9)&lt;&gt;7,C9&lt;=0,D9&lt;=0,E9&lt;=0),NA(),D9*'参数与逻辑'!$B$2))</f>
        <v/>
      </c>
      <c r="K9" s="4">
        <f>IF(J9="","",D9*'参数与逻辑'!$B$3)</f>
        <v/>
      </c>
      <c r="L9" s="4">
        <f>IF(J9="","",G9*C9*'参数与逻辑'!$B$4*'参数与逻辑'!$B$5)</f>
        <v/>
      </c>
      <c r="M9" s="4">
        <f>IF(J9="","",L9*'参数与逻辑'!$B$9)</f>
        <v/>
      </c>
      <c r="N9" s="4">
        <f>IF(J9="","",E9*'参数与逻辑'!$B$6)</f>
        <v/>
      </c>
      <c r="O9" s="4">
        <f>IF(J9="","",('参数与逻辑'!$B$7+'参数与逻辑'!$B$8)*D9/SUM($D$5:$D$24))</f>
        <v/>
      </c>
      <c r="P9" s="4">
        <f>IF(J9="","",J9+K9+M9+N9+O9)</f>
        <v/>
      </c>
      <c r="Q9" s="4">
        <f>IF(J9="","",P9/C9)</f>
        <v/>
      </c>
      <c r="R9" s="4">
        <f>IF(J9="","",F9*C9)</f>
        <v/>
      </c>
      <c r="S9" s="4">
        <f>IF(J9="","",H9*C9*'参数与逻辑'!$B$9)</f>
        <v/>
      </c>
      <c r="T9" s="4">
        <f>IF(J9="","",I9*C9*'参数与逻辑'!$B$9)</f>
        <v/>
      </c>
      <c r="U9" s="4">
        <f>IF(J9="","",S9-R9-P9-T9)</f>
        <v/>
      </c>
      <c r="V9" s="5">
        <f>IF(J9="","",IF(S9=0,"",U9/S9))</f>
        <v/>
      </c>
    </row>
    <row r="10">
      <c r="A10" s="2" t="n"/>
      <c r="B10" s="2" t="n"/>
      <c r="C10" s="2" t="n"/>
      <c r="D10" s="3" t="n"/>
      <c r="E10" s="3" t="n"/>
      <c r="F10" s="3" t="n"/>
      <c r="G10" s="3" t="n"/>
      <c r="H10" s="3" t="n"/>
      <c r="I10" s="3" t="n"/>
      <c r="J10" s="4">
        <f>IF(COUNTA(A10:I10)=0,"",IF(OR(COUNT(C10:I10)&lt;&gt;7,C10&lt;=0,D10&lt;=0,E10&lt;=0),NA(),D10*'参数与逻辑'!$B$2))</f>
        <v/>
      </c>
      <c r="K10" s="4">
        <f>IF(J10="","",D10*'参数与逻辑'!$B$3)</f>
        <v/>
      </c>
      <c r="L10" s="4">
        <f>IF(J10="","",G10*C10*'参数与逻辑'!$B$4*'参数与逻辑'!$B$5)</f>
        <v/>
      </c>
      <c r="M10" s="4">
        <f>IF(J10="","",L10*'参数与逻辑'!$B$9)</f>
        <v/>
      </c>
      <c r="N10" s="4">
        <f>IF(J10="","",E10*'参数与逻辑'!$B$6)</f>
        <v/>
      </c>
      <c r="O10" s="4">
        <f>IF(J10="","",('参数与逻辑'!$B$7+'参数与逻辑'!$B$8)*D10/SUM($D$5:$D$24))</f>
        <v/>
      </c>
      <c r="P10" s="4">
        <f>IF(J10="","",J10+K10+M10+N10+O10)</f>
        <v/>
      </c>
      <c r="Q10" s="4">
        <f>IF(J10="","",P10/C10)</f>
        <v/>
      </c>
      <c r="R10" s="4">
        <f>IF(J10="","",F10*C10)</f>
        <v/>
      </c>
      <c r="S10" s="4">
        <f>IF(J10="","",H10*C10*'参数与逻辑'!$B$9)</f>
        <v/>
      </c>
      <c r="T10" s="4">
        <f>IF(J10="","",I10*C10*'参数与逻辑'!$B$9)</f>
        <v/>
      </c>
      <c r="U10" s="4">
        <f>IF(J10="","",S10-R10-P10-T10)</f>
        <v/>
      </c>
      <c r="V10" s="5">
        <f>IF(J10="","",IF(S10=0,"",U10/S10))</f>
        <v/>
      </c>
    </row>
    <row r="11">
      <c r="A11" s="2" t="n"/>
      <c r="B11" s="2" t="n"/>
      <c r="C11" s="2" t="n"/>
      <c r="D11" s="3" t="n"/>
      <c r="E11" s="3" t="n"/>
      <c r="F11" s="3" t="n"/>
      <c r="G11" s="3" t="n"/>
      <c r="H11" s="3" t="n"/>
      <c r="I11" s="3" t="n"/>
      <c r="J11" s="4">
        <f>IF(COUNTA(A11:I11)=0,"",IF(OR(COUNT(C11:I11)&lt;&gt;7,C11&lt;=0,D11&lt;=0,E11&lt;=0),NA(),D11*'参数与逻辑'!$B$2))</f>
        <v/>
      </c>
      <c r="K11" s="4">
        <f>IF(J11="","",D11*'参数与逻辑'!$B$3)</f>
        <v/>
      </c>
      <c r="L11" s="4">
        <f>IF(J11="","",G11*C11*'参数与逻辑'!$B$4*'参数与逻辑'!$B$5)</f>
        <v/>
      </c>
      <c r="M11" s="4">
        <f>IF(J11="","",L11*'参数与逻辑'!$B$9)</f>
        <v/>
      </c>
      <c r="N11" s="4">
        <f>IF(J11="","",E11*'参数与逻辑'!$B$6)</f>
        <v/>
      </c>
      <c r="O11" s="4">
        <f>IF(J11="","",('参数与逻辑'!$B$7+'参数与逻辑'!$B$8)*D11/SUM($D$5:$D$24))</f>
        <v/>
      </c>
      <c r="P11" s="4">
        <f>IF(J11="","",J11+K11+M11+N11+O11)</f>
        <v/>
      </c>
      <c r="Q11" s="4">
        <f>IF(J11="","",P11/C11)</f>
        <v/>
      </c>
      <c r="R11" s="4">
        <f>IF(J11="","",F11*C11)</f>
        <v/>
      </c>
      <c r="S11" s="4">
        <f>IF(J11="","",H11*C11*'参数与逻辑'!$B$9)</f>
        <v/>
      </c>
      <c r="T11" s="4">
        <f>IF(J11="","",I11*C11*'参数与逻辑'!$B$9)</f>
        <v/>
      </c>
      <c r="U11" s="4">
        <f>IF(J11="","",S11-R11-P11-T11)</f>
        <v/>
      </c>
      <c r="V11" s="5">
        <f>IF(J11="","",IF(S11=0,"",U11/S11))</f>
        <v/>
      </c>
    </row>
    <row r="12">
      <c r="A12" s="2" t="n"/>
      <c r="B12" s="2" t="n"/>
      <c r="C12" s="2" t="n"/>
      <c r="D12" s="3" t="n"/>
      <c r="E12" s="3" t="n"/>
      <c r="F12" s="3" t="n"/>
      <c r="G12" s="3" t="n"/>
      <c r="H12" s="3" t="n"/>
      <c r="I12" s="3" t="n"/>
      <c r="J12" s="4">
        <f>IF(COUNTA(A12:I12)=0,"",IF(OR(COUNT(C12:I12)&lt;&gt;7,C12&lt;=0,D12&lt;=0,E12&lt;=0),NA(),D12*'参数与逻辑'!$B$2))</f>
        <v/>
      </c>
      <c r="K12" s="4">
        <f>IF(J12="","",D12*'参数与逻辑'!$B$3)</f>
        <v/>
      </c>
      <c r="L12" s="4">
        <f>IF(J12="","",G12*C12*'参数与逻辑'!$B$4*'参数与逻辑'!$B$5)</f>
        <v/>
      </c>
      <c r="M12" s="4">
        <f>IF(J12="","",L12*'参数与逻辑'!$B$9)</f>
        <v/>
      </c>
      <c r="N12" s="4">
        <f>IF(J12="","",E12*'参数与逻辑'!$B$6)</f>
        <v/>
      </c>
      <c r="O12" s="4">
        <f>IF(J12="","",('参数与逻辑'!$B$7+'参数与逻辑'!$B$8)*D12/SUM($D$5:$D$24))</f>
        <v/>
      </c>
      <c r="P12" s="4">
        <f>IF(J12="","",J12+K12+M12+N12+O12)</f>
        <v/>
      </c>
      <c r="Q12" s="4">
        <f>IF(J12="","",P12/C12)</f>
        <v/>
      </c>
      <c r="R12" s="4">
        <f>IF(J12="","",F12*C12)</f>
        <v/>
      </c>
      <c r="S12" s="4">
        <f>IF(J12="","",H12*C12*'参数与逻辑'!$B$9)</f>
        <v/>
      </c>
      <c r="T12" s="4">
        <f>IF(J12="","",I12*C12*'参数与逻辑'!$B$9)</f>
        <v/>
      </c>
      <c r="U12" s="4">
        <f>IF(J12="","",S12-R12-P12-T12)</f>
        <v/>
      </c>
      <c r="V12" s="5">
        <f>IF(J12="","",IF(S12=0,"",U12/S12))</f>
        <v/>
      </c>
    </row>
    <row r="13">
      <c r="A13" s="2" t="n"/>
      <c r="B13" s="2" t="n"/>
      <c r="C13" s="2" t="n"/>
      <c r="D13" s="3" t="n"/>
      <c r="E13" s="3" t="n"/>
      <c r="F13" s="3" t="n"/>
      <c r="G13" s="3" t="n"/>
      <c r="H13" s="3" t="n"/>
      <c r="I13" s="3" t="n"/>
      <c r="J13" s="4">
        <f>IF(COUNTA(A13:I13)=0,"",IF(OR(COUNT(C13:I13)&lt;&gt;7,C13&lt;=0,D13&lt;=0,E13&lt;=0),NA(),D13*'参数与逻辑'!$B$2))</f>
        <v/>
      </c>
      <c r="K13" s="4">
        <f>IF(J13="","",D13*'参数与逻辑'!$B$3)</f>
        <v/>
      </c>
      <c r="L13" s="4">
        <f>IF(J13="","",G13*C13*'参数与逻辑'!$B$4*'参数与逻辑'!$B$5)</f>
        <v/>
      </c>
      <c r="M13" s="4">
        <f>IF(J13="","",L13*'参数与逻辑'!$B$9)</f>
        <v/>
      </c>
      <c r="N13" s="4">
        <f>IF(J13="","",E13*'参数与逻辑'!$B$6)</f>
        <v/>
      </c>
      <c r="O13" s="4">
        <f>IF(J13="","",('参数与逻辑'!$B$7+'参数与逻辑'!$B$8)*D13/SUM($D$5:$D$24))</f>
        <v/>
      </c>
      <c r="P13" s="4">
        <f>IF(J13="","",J13+K13+M13+N13+O13)</f>
        <v/>
      </c>
      <c r="Q13" s="4">
        <f>IF(J13="","",P13/C13)</f>
        <v/>
      </c>
      <c r="R13" s="4">
        <f>IF(J13="","",F13*C13)</f>
        <v/>
      </c>
      <c r="S13" s="4">
        <f>IF(J13="","",H13*C13*'参数与逻辑'!$B$9)</f>
        <v/>
      </c>
      <c r="T13" s="4">
        <f>IF(J13="","",I13*C13*'参数与逻辑'!$B$9)</f>
        <v/>
      </c>
      <c r="U13" s="4">
        <f>IF(J13="","",S13-R13-P13-T13)</f>
        <v/>
      </c>
      <c r="V13" s="5">
        <f>IF(J13="","",IF(S13=0,"",U13/S13))</f>
        <v/>
      </c>
    </row>
    <row r="14">
      <c r="A14" s="2" t="n"/>
      <c r="B14" s="2" t="n"/>
      <c r="C14" s="2" t="n"/>
      <c r="D14" s="3" t="n"/>
      <c r="E14" s="3" t="n"/>
      <c r="F14" s="3" t="n"/>
      <c r="G14" s="3" t="n"/>
      <c r="H14" s="3" t="n"/>
      <c r="I14" s="3" t="n"/>
      <c r="J14" s="4">
        <f>IF(COUNTA(A14:I14)=0,"",IF(OR(COUNT(C14:I14)&lt;&gt;7,C14&lt;=0,D14&lt;=0,E14&lt;=0),NA(),D14*'参数与逻辑'!$B$2))</f>
        <v/>
      </c>
      <c r="K14" s="4">
        <f>IF(J14="","",D14*'参数与逻辑'!$B$3)</f>
        <v/>
      </c>
      <c r="L14" s="4">
        <f>IF(J14="","",G14*C14*'参数与逻辑'!$B$4*'参数与逻辑'!$B$5)</f>
        <v/>
      </c>
      <c r="M14" s="4">
        <f>IF(J14="","",L14*'参数与逻辑'!$B$9)</f>
        <v/>
      </c>
      <c r="N14" s="4">
        <f>IF(J14="","",E14*'参数与逻辑'!$B$6)</f>
        <v/>
      </c>
      <c r="O14" s="4">
        <f>IF(J14="","",('参数与逻辑'!$B$7+'参数与逻辑'!$B$8)*D14/SUM($D$5:$D$24))</f>
        <v/>
      </c>
      <c r="P14" s="4">
        <f>IF(J14="","",J14+K14+M14+N14+O14)</f>
        <v/>
      </c>
      <c r="Q14" s="4">
        <f>IF(J14="","",P14/C14)</f>
        <v/>
      </c>
      <c r="R14" s="4">
        <f>IF(J14="","",F14*C14)</f>
        <v/>
      </c>
      <c r="S14" s="4">
        <f>IF(J14="","",H14*C14*'参数与逻辑'!$B$9)</f>
        <v/>
      </c>
      <c r="T14" s="4">
        <f>IF(J14="","",I14*C14*'参数与逻辑'!$B$9)</f>
        <v/>
      </c>
      <c r="U14" s="4">
        <f>IF(J14="","",S14-R14-P14-T14)</f>
        <v/>
      </c>
      <c r="V14" s="5">
        <f>IF(J14="","",IF(S14=0,"",U14/S14))</f>
        <v/>
      </c>
    </row>
    <row r="15">
      <c r="A15" s="2" t="n"/>
      <c r="B15" s="2" t="n"/>
      <c r="C15" s="2" t="n"/>
      <c r="D15" s="3" t="n"/>
      <c r="E15" s="3" t="n"/>
      <c r="F15" s="3" t="n"/>
      <c r="G15" s="3" t="n"/>
      <c r="H15" s="3" t="n"/>
      <c r="I15" s="3" t="n"/>
      <c r="J15" s="4">
        <f>IF(COUNTA(A15:I15)=0,"",IF(OR(COUNT(C15:I15)&lt;&gt;7,C15&lt;=0,D15&lt;=0,E15&lt;=0),NA(),D15*'参数与逻辑'!$B$2))</f>
        <v/>
      </c>
      <c r="K15" s="4">
        <f>IF(J15="","",D15*'参数与逻辑'!$B$3)</f>
        <v/>
      </c>
      <c r="L15" s="4">
        <f>IF(J15="","",G15*C15*'参数与逻辑'!$B$4*'参数与逻辑'!$B$5)</f>
        <v/>
      </c>
      <c r="M15" s="4">
        <f>IF(J15="","",L15*'参数与逻辑'!$B$9)</f>
        <v/>
      </c>
      <c r="N15" s="4">
        <f>IF(J15="","",E15*'参数与逻辑'!$B$6)</f>
        <v/>
      </c>
      <c r="O15" s="4">
        <f>IF(J15="","",('参数与逻辑'!$B$7+'参数与逻辑'!$B$8)*D15/SUM($D$5:$D$24))</f>
        <v/>
      </c>
      <c r="P15" s="4">
        <f>IF(J15="","",J15+K15+M15+N15+O15)</f>
        <v/>
      </c>
      <c r="Q15" s="4">
        <f>IF(J15="","",P15/C15)</f>
        <v/>
      </c>
      <c r="R15" s="4">
        <f>IF(J15="","",F15*C15)</f>
        <v/>
      </c>
      <c r="S15" s="4">
        <f>IF(J15="","",H15*C15*'参数与逻辑'!$B$9)</f>
        <v/>
      </c>
      <c r="T15" s="4">
        <f>IF(J15="","",I15*C15*'参数与逻辑'!$B$9)</f>
        <v/>
      </c>
      <c r="U15" s="4">
        <f>IF(J15="","",S15-R15-P15-T15)</f>
        <v/>
      </c>
      <c r="V15" s="5">
        <f>IF(J15="","",IF(S15=0,"",U15/S15))</f>
        <v/>
      </c>
    </row>
    <row r="16">
      <c r="A16" s="2" t="n"/>
      <c r="B16" s="2" t="n"/>
      <c r="C16" s="2" t="n"/>
      <c r="D16" s="3" t="n"/>
      <c r="E16" s="3" t="n"/>
      <c r="F16" s="3" t="n"/>
      <c r="G16" s="3" t="n"/>
      <c r="H16" s="3" t="n"/>
      <c r="I16" s="3" t="n"/>
      <c r="J16" s="4">
        <f>IF(COUNTA(A16:I16)=0,"",IF(OR(COUNT(C16:I16)&lt;&gt;7,C16&lt;=0,D16&lt;=0,E16&lt;=0),NA(),D16*'参数与逻辑'!$B$2))</f>
        <v/>
      </c>
      <c r="K16" s="4">
        <f>IF(J16="","",D16*'参数与逻辑'!$B$3)</f>
        <v/>
      </c>
      <c r="L16" s="4">
        <f>IF(J16="","",G16*C16*'参数与逻辑'!$B$4*'参数与逻辑'!$B$5)</f>
        <v/>
      </c>
      <c r="M16" s="4">
        <f>IF(J16="","",L16*'参数与逻辑'!$B$9)</f>
        <v/>
      </c>
      <c r="N16" s="4">
        <f>IF(J16="","",E16*'参数与逻辑'!$B$6)</f>
        <v/>
      </c>
      <c r="O16" s="4">
        <f>IF(J16="","",('参数与逻辑'!$B$7+'参数与逻辑'!$B$8)*D16/SUM($D$5:$D$24))</f>
        <v/>
      </c>
      <c r="P16" s="4">
        <f>IF(J16="","",J16+K16+M16+N16+O16)</f>
        <v/>
      </c>
      <c r="Q16" s="4">
        <f>IF(J16="","",P16/C16)</f>
        <v/>
      </c>
      <c r="R16" s="4">
        <f>IF(J16="","",F16*C16)</f>
        <v/>
      </c>
      <c r="S16" s="4">
        <f>IF(J16="","",H16*C16*'参数与逻辑'!$B$9)</f>
        <v/>
      </c>
      <c r="T16" s="4">
        <f>IF(J16="","",I16*C16*'参数与逻辑'!$B$9)</f>
        <v/>
      </c>
      <c r="U16" s="4">
        <f>IF(J16="","",S16-R16-P16-T16)</f>
        <v/>
      </c>
      <c r="V16" s="5">
        <f>IF(J16="","",IF(S16=0,"",U16/S16))</f>
        <v/>
      </c>
    </row>
    <row r="17">
      <c r="A17" s="2" t="n"/>
      <c r="B17" s="2" t="n"/>
      <c r="C17" s="2" t="n"/>
      <c r="D17" s="3" t="n"/>
      <c r="E17" s="3" t="n"/>
      <c r="F17" s="3" t="n"/>
      <c r="G17" s="3" t="n"/>
      <c r="H17" s="3" t="n"/>
      <c r="I17" s="3" t="n"/>
      <c r="J17" s="4">
        <f>IF(COUNTA(A17:I17)=0,"",IF(OR(COUNT(C17:I17)&lt;&gt;7,C17&lt;=0,D17&lt;=0,E17&lt;=0),NA(),D17*'参数与逻辑'!$B$2))</f>
        <v/>
      </c>
      <c r="K17" s="4">
        <f>IF(J17="","",D17*'参数与逻辑'!$B$3)</f>
        <v/>
      </c>
      <c r="L17" s="4">
        <f>IF(J17="","",G17*C17*'参数与逻辑'!$B$4*'参数与逻辑'!$B$5)</f>
        <v/>
      </c>
      <c r="M17" s="4">
        <f>IF(J17="","",L17*'参数与逻辑'!$B$9)</f>
        <v/>
      </c>
      <c r="N17" s="4">
        <f>IF(J17="","",E17*'参数与逻辑'!$B$6)</f>
        <v/>
      </c>
      <c r="O17" s="4">
        <f>IF(J17="","",('参数与逻辑'!$B$7+'参数与逻辑'!$B$8)*D17/SUM($D$5:$D$24))</f>
        <v/>
      </c>
      <c r="P17" s="4">
        <f>IF(J17="","",J17+K17+M17+N17+O17)</f>
        <v/>
      </c>
      <c r="Q17" s="4">
        <f>IF(J17="","",P17/C17)</f>
        <v/>
      </c>
      <c r="R17" s="4">
        <f>IF(J17="","",F17*C17)</f>
        <v/>
      </c>
      <c r="S17" s="4">
        <f>IF(J17="","",H17*C17*'参数与逻辑'!$B$9)</f>
        <v/>
      </c>
      <c r="T17" s="4">
        <f>IF(J17="","",I17*C17*'参数与逻辑'!$B$9)</f>
        <v/>
      </c>
      <c r="U17" s="4">
        <f>IF(J17="","",S17-R17-P17-T17)</f>
        <v/>
      </c>
      <c r="V17" s="5">
        <f>IF(J17="","",IF(S17=0,"",U17/S17))</f>
        <v/>
      </c>
    </row>
    <row r="18">
      <c r="A18" s="2" t="n"/>
      <c r="B18" s="2" t="n"/>
      <c r="C18" s="2" t="n"/>
      <c r="D18" s="3" t="n"/>
      <c r="E18" s="3" t="n"/>
      <c r="F18" s="3" t="n"/>
      <c r="G18" s="3" t="n"/>
      <c r="H18" s="3" t="n"/>
      <c r="I18" s="3" t="n"/>
      <c r="J18" s="4">
        <f>IF(COUNTA(A18:I18)=0,"",IF(OR(COUNT(C18:I18)&lt;&gt;7,C18&lt;=0,D18&lt;=0,E18&lt;=0),NA(),D18*'参数与逻辑'!$B$2))</f>
        <v/>
      </c>
      <c r="K18" s="4">
        <f>IF(J18="","",D18*'参数与逻辑'!$B$3)</f>
        <v/>
      </c>
      <c r="L18" s="4">
        <f>IF(J18="","",G18*C18*'参数与逻辑'!$B$4*'参数与逻辑'!$B$5)</f>
        <v/>
      </c>
      <c r="M18" s="4">
        <f>IF(J18="","",L18*'参数与逻辑'!$B$9)</f>
        <v/>
      </c>
      <c r="N18" s="4">
        <f>IF(J18="","",E18*'参数与逻辑'!$B$6)</f>
        <v/>
      </c>
      <c r="O18" s="4">
        <f>IF(J18="","",('参数与逻辑'!$B$7+'参数与逻辑'!$B$8)*D18/SUM($D$5:$D$24))</f>
        <v/>
      </c>
      <c r="P18" s="4">
        <f>IF(J18="","",J18+K18+M18+N18+O18)</f>
        <v/>
      </c>
      <c r="Q18" s="4">
        <f>IF(J18="","",P18/C18)</f>
        <v/>
      </c>
      <c r="R18" s="4">
        <f>IF(J18="","",F18*C18)</f>
        <v/>
      </c>
      <c r="S18" s="4">
        <f>IF(J18="","",H18*C18*'参数与逻辑'!$B$9)</f>
        <v/>
      </c>
      <c r="T18" s="4">
        <f>IF(J18="","",I18*C18*'参数与逻辑'!$B$9)</f>
        <v/>
      </c>
      <c r="U18" s="4">
        <f>IF(J18="","",S18-R18-P18-T18)</f>
        <v/>
      </c>
      <c r="V18" s="5">
        <f>IF(J18="","",IF(S18=0,"",U18/S18))</f>
        <v/>
      </c>
    </row>
    <row r="19">
      <c r="A19" s="2" t="n"/>
      <c r="B19" s="2" t="n"/>
      <c r="C19" s="2" t="n"/>
      <c r="D19" s="3" t="n"/>
      <c r="E19" s="3" t="n"/>
      <c r="F19" s="3" t="n"/>
      <c r="G19" s="3" t="n"/>
      <c r="H19" s="3" t="n"/>
      <c r="I19" s="3" t="n"/>
      <c r="J19" s="4">
        <f>IF(COUNTA(A19:I19)=0,"",IF(OR(COUNT(C19:I19)&lt;&gt;7,C19&lt;=0,D19&lt;=0,E19&lt;=0),NA(),D19*'参数与逻辑'!$B$2))</f>
        <v/>
      </c>
      <c r="K19" s="4">
        <f>IF(J19="","",D19*'参数与逻辑'!$B$3)</f>
        <v/>
      </c>
      <c r="L19" s="4">
        <f>IF(J19="","",G19*C19*'参数与逻辑'!$B$4*'参数与逻辑'!$B$5)</f>
        <v/>
      </c>
      <c r="M19" s="4">
        <f>IF(J19="","",L19*'参数与逻辑'!$B$9)</f>
        <v/>
      </c>
      <c r="N19" s="4">
        <f>IF(J19="","",E19*'参数与逻辑'!$B$6)</f>
        <v/>
      </c>
      <c r="O19" s="4">
        <f>IF(J19="","",('参数与逻辑'!$B$7+'参数与逻辑'!$B$8)*D19/SUM($D$5:$D$24))</f>
        <v/>
      </c>
      <c r="P19" s="4">
        <f>IF(J19="","",J19+K19+M19+N19+O19)</f>
        <v/>
      </c>
      <c r="Q19" s="4">
        <f>IF(J19="","",P19/C19)</f>
        <v/>
      </c>
      <c r="R19" s="4">
        <f>IF(J19="","",F19*C19)</f>
        <v/>
      </c>
      <c r="S19" s="4">
        <f>IF(J19="","",H19*C19*'参数与逻辑'!$B$9)</f>
        <v/>
      </c>
      <c r="T19" s="4">
        <f>IF(J19="","",I19*C19*'参数与逻辑'!$B$9)</f>
        <v/>
      </c>
      <c r="U19" s="4">
        <f>IF(J19="","",S19-R19-P19-T19)</f>
        <v/>
      </c>
      <c r="V19" s="5">
        <f>IF(J19="","",IF(S19=0,"",U19/S19))</f>
        <v/>
      </c>
    </row>
    <row r="20">
      <c r="A20" s="2" t="n"/>
      <c r="B20" s="2" t="n"/>
      <c r="C20" s="2" t="n"/>
      <c r="D20" s="3" t="n"/>
      <c r="E20" s="3" t="n"/>
      <c r="F20" s="3" t="n"/>
      <c r="G20" s="3" t="n"/>
      <c r="H20" s="3" t="n"/>
      <c r="I20" s="3" t="n"/>
      <c r="J20" s="4">
        <f>IF(COUNTA(A20:I20)=0,"",IF(OR(COUNT(C20:I20)&lt;&gt;7,C20&lt;=0,D20&lt;=0,E20&lt;=0),NA(),D20*'参数与逻辑'!$B$2))</f>
        <v/>
      </c>
      <c r="K20" s="4">
        <f>IF(J20="","",D20*'参数与逻辑'!$B$3)</f>
        <v/>
      </c>
      <c r="L20" s="4">
        <f>IF(J20="","",G20*C20*'参数与逻辑'!$B$4*'参数与逻辑'!$B$5)</f>
        <v/>
      </c>
      <c r="M20" s="4">
        <f>IF(J20="","",L20*'参数与逻辑'!$B$9)</f>
        <v/>
      </c>
      <c r="N20" s="4">
        <f>IF(J20="","",E20*'参数与逻辑'!$B$6)</f>
        <v/>
      </c>
      <c r="O20" s="4">
        <f>IF(J20="","",('参数与逻辑'!$B$7+'参数与逻辑'!$B$8)*D20/SUM($D$5:$D$24))</f>
        <v/>
      </c>
      <c r="P20" s="4">
        <f>IF(J20="","",J20+K20+M20+N20+O20)</f>
        <v/>
      </c>
      <c r="Q20" s="4">
        <f>IF(J20="","",P20/C20)</f>
        <v/>
      </c>
      <c r="R20" s="4">
        <f>IF(J20="","",F20*C20)</f>
        <v/>
      </c>
      <c r="S20" s="4">
        <f>IF(J20="","",H20*C20*'参数与逻辑'!$B$9)</f>
        <v/>
      </c>
      <c r="T20" s="4">
        <f>IF(J20="","",I20*C20*'参数与逻辑'!$B$9)</f>
        <v/>
      </c>
      <c r="U20" s="4">
        <f>IF(J20="","",S20-R20-P20-T20)</f>
        <v/>
      </c>
      <c r="V20" s="5">
        <f>IF(J20="","",IF(S20=0,"",U20/S20))</f>
        <v/>
      </c>
    </row>
    <row r="21">
      <c r="A21" s="2" t="n"/>
      <c r="B21" s="2" t="n"/>
      <c r="C21" s="2" t="n"/>
      <c r="D21" s="3" t="n"/>
      <c r="E21" s="3" t="n"/>
      <c r="F21" s="3" t="n"/>
      <c r="G21" s="3" t="n"/>
      <c r="H21" s="3" t="n"/>
      <c r="I21" s="3" t="n"/>
      <c r="J21" s="4">
        <f>IF(COUNTA(A21:I21)=0,"",IF(OR(COUNT(C21:I21)&lt;&gt;7,C21&lt;=0,D21&lt;=0,E21&lt;=0),NA(),D21*'参数与逻辑'!$B$2))</f>
        <v/>
      </c>
      <c r="K21" s="4">
        <f>IF(J21="","",D21*'参数与逻辑'!$B$3)</f>
        <v/>
      </c>
      <c r="L21" s="4">
        <f>IF(J21="","",G21*C21*'参数与逻辑'!$B$4*'参数与逻辑'!$B$5)</f>
        <v/>
      </c>
      <c r="M21" s="4">
        <f>IF(J21="","",L21*'参数与逻辑'!$B$9)</f>
        <v/>
      </c>
      <c r="N21" s="4">
        <f>IF(J21="","",E21*'参数与逻辑'!$B$6)</f>
        <v/>
      </c>
      <c r="O21" s="4">
        <f>IF(J21="","",('参数与逻辑'!$B$7+'参数与逻辑'!$B$8)*D21/SUM($D$5:$D$24))</f>
        <v/>
      </c>
      <c r="P21" s="4">
        <f>IF(J21="","",J21+K21+M21+N21+O21)</f>
        <v/>
      </c>
      <c r="Q21" s="4">
        <f>IF(J21="","",P21/C21)</f>
        <v/>
      </c>
      <c r="R21" s="4">
        <f>IF(J21="","",F21*C21)</f>
        <v/>
      </c>
      <c r="S21" s="4">
        <f>IF(J21="","",H21*C21*'参数与逻辑'!$B$9)</f>
        <v/>
      </c>
      <c r="T21" s="4">
        <f>IF(J21="","",I21*C21*'参数与逻辑'!$B$9)</f>
        <v/>
      </c>
      <c r="U21" s="4">
        <f>IF(J21="","",S21-R21-P21-T21)</f>
        <v/>
      </c>
      <c r="V21" s="5">
        <f>IF(J21="","",IF(S21=0,"",U21/S21))</f>
        <v/>
      </c>
    </row>
    <row r="22">
      <c r="A22" s="2" t="n"/>
      <c r="B22" s="2" t="n"/>
      <c r="C22" s="2" t="n"/>
      <c r="D22" s="3" t="n"/>
      <c r="E22" s="3" t="n"/>
      <c r="F22" s="3" t="n"/>
      <c r="G22" s="3" t="n"/>
      <c r="H22" s="3" t="n"/>
      <c r="I22" s="3" t="n"/>
      <c r="J22" s="4">
        <f>IF(COUNTA(A22:I22)=0,"",IF(OR(COUNT(C22:I22)&lt;&gt;7,C22&lt;=0,D22&lt;=0,E22&lt;=0),NA(),D22*'参数与逻辑'!$B$2))</f>
        <v/>
      </c>
      <c r="K22" s="4">
        <f>IF(J22="","",D22*'参数与逻辑'!$B$3)</f>
        <v/>
      </c>
      <c r="L22" s="4">
        <f>IF(J22="","",G22*C22*'参数与逻辑'!$B$4*'参数与逻辑'!$B$5)</f>
        <v/>
      </c>
      <c r="M22" s="4">
        <f>IF(J22="","",L22*'参数与逻辑'!$B$9)</f>
        <v/>
      </c>
      <c r="N22" s="4">
        <f>IF(J22="","",E22*'参数与逻辑'!$B$6)</f>
        <v/>
      </c>
      <c r="O22" s="4">
        <f>IF(J22="","",('参数与逻辑'!$B$7+'参数与逻辑'!$B$8)*D22/SUM($D$5:$D$24))</f>
        <v/>
      </c>
      <c r="P22" s="4">
        <f>IF(J22="","",J22+K22+M22+N22+O22)</f>
        <v/>
      </c>
      <c r="Q22" s="4">
        <f>IF(J22="","",P22/C22)</f>
        <v/>
      </c>
      <c r="R22" s="4">
        <f>IF(J22="","",F22*C22)</f>
        <v/>
      </c>
      <c r="S22" s="4">
        <f>IF(J22="","",H22*C22*'参数与逻辑'!$B$9)</f>
        <v/>
      </c>
      <c r="T22" s="4">
        <f>IF(J22="","",I22*C22*'参数与逻辑'!$B$9)</f>
        <v/>
      </c>
      <c r="U22" s="4">
        <f>IF(J22="","",S22-R22-P22-T22)</f>
        <v/>
      </c>
      <c r="V22" s="5">
        <f>IF(J22="","",IF(S22=0,"",U22/S22))</f>
        <v/>
      </c>
    </row>
    <row r="23">
      <c r="A23" s="2" t="n"/>
      <c r="B23" s="2" t="n"/>
      <c r="C23" s="2" t="n"/>
      <c r="D23" s="3" t="n"/>
      <c r="E23" s="3" t="n"/>
      <c r="F23" s="3" t="n"/>
      <c r="G23" s="3" t="n"/>
      <c r="H23" s="3" t="n"/>
      <c r="I23" s="3" t="n"/>
      <c r="J23" s="4">
        <f>IF(COUNTA(A23:I23)=0,"",IF(OR(COUNT(C23:I23)&lt;&gt;7,C23&lt;=0,D23&lt;=0,E23&lt;=0),NA(),D23*'参数与逻辑'!$B$2))</f>
        <v/>
      </c>
      <c r="K23" s="4">
        <f>IF(J23="","",D23*'参数与逻辑'!$B$3)</f>
        <v/>
      </c>
      <c r="L23" s="4">
        <f>IF(J23="","",G23*C23*'参数与逻辑'!$B$4*'参数与逻辑'!$B$5)</f>
        <v/>
      </c>
      <c r="M23" s="4">
        <f>IF(J23="","",L23*'参数与逻辑'!$B$9)</f>
        <v/>
      </c>
      <c r="N23" s="4">
        <f>IF(J23="","",E23*'参数与逻辑'!$B$6)</f>
        <v/>
      </c>
      <c r="O23" s="4">
        <f>IF(J23="","",('参数与逻辑'!$B$7+'参数与逻辑'!$B$8)*D23/SUM($D$5:$D$24))</f>
        <v/>
      </c>
      <c r="P23" s="4">
        <f>IF(J23="","",J23+K23+M23+N23+O23)</f>
        <v/>
      </c>
      <c r="Q23" s="4">
        <f>IF(J23="","",P23/C23)</f>
        <v/>
      </c>
      <c r="R23" s="4">
        <f>IF(J23="","",F23*C23)</f>
        <v/>
      </c>
      <c r="S23" s="4">
        <f>IF(J23="","",H23*C23*'参数与逻辑'!$B$9)</f>
        <v/>
      </c>
      <c r="T23" s="4">
        <f>IF(J23="","",I23*C23*'参数与逻辑'!$B$9)</f>
        <v/>
      </c>
      <c r="U23" s="4">
        <f>IF(J23="","",S23-R23-P23-T23)</f>
        <v/>
      </c>
      <c r="V23" s="5">
        <f>IF(J23="","",IF(S23=0,"",U23/S23))</f>
        <v/>
      </c>
    </row>
    <row r="24">
      <c r="A24" s="2" t="n"/>
      <c r="B24" s="2" t="n"/>
      <c r="C24" s="2" t="n"/>
      <c r="D24" s="3" t="n"/>
      <c r="E24" s="3" t="n"/>
      <c r="F24" s="3" t="n"/>
      <c r="G24" s="3" t="n"/>
      <c r="H24" s="3" t="n"/>
      <c r="I24" s="3" t="n"/>
      <c r="J24" s="4">
        <f>IF(COUNTA(A24:I24)=0,"",IF(OR(COUNT(C24:I24)&lt;&gt;7,C24&lt;=0,D24&lt;=0,E24&lt;=0),NA(),D24*'参数与逻辑'!$B$2))</f>
        <v/>
      </c>
      <c r="K24" s="4">
        <f>IF(J24="","",D24*'参数与逻辑'!$B$3)</f>
        <v/>
      </c>
      <c r="L24" s="4">
        <f>IF(J24="","",G24*C24*'参数与逻辑'!$B$4*'参数与逻辑'!$B$5)</f>
        <v/>
      </c>
      <c r="M24" s="4">
        <f>IF(J24="","",L24*'参数与逻辑'!$B$9)</f>
        <v/>
      </c>
      <c r="N24" s="4">
        <f>IF(J24="","",E24*'参数与逻辑'!$B$6)</f>
        <v/>
      </c>
      <c r="O24" s="4">
        <f>IF(J24="","",('参数与逻辑'!$B$7+'参数与逻辑'!$B$8)*D24/SUM($D$5:$D$24))</f>
        <v/>
      </c>
      <c r="P24" s="4">
        <f>IF(J24="","",J24+K24+M24+N24+O24)</f>
        <v/>
      </c>
      <c r="Q24" s="4">
        <f>IF(J24="","",P24/C24)</f>
        <v/>
      </c>
      <c r="R24" s="4">
        <f>IF(J24="","",F24*C24)</f>
        <v/>
      </c>
      <c r="S24" s="4">
        <f>IF(J24="","",H24*C24*'参数与逻辑'!$B$9)</f>
        <v/>
      </c>
      <c r="T24" s="4">
        <f>IF(J24="","",I24*C24*'参数与逻辑'!$B$9)</f>
        <v/>
      </c>
      <c r="U24" s="4">
        <f>IF(J24="","",S24-R24-P24-T24)</f>
        <v/>
      </c>
      <c r="V24" s="5">
        <f>IF(J24="","",IF(S24=0,"",U24/S24))</f>
        <v/>
      </c>
    </row>
    <row r="25"/>
    <row r="26">
      <c r="A26" t="inlineStr">
        <is>
          <t>整票合计（人民币，税金 L 列为日元）</t>
        </is>
      </c>
      <c r="C26">
        <f>SUM(C5:C24)</f>
        <v/>
      </c>
      <c r="D26">
        <f>SUM(D5:D24)</f>
        <v/>
      </c>
      <c r="E26">
        <f>SUM(E5:E24)</f>
        <v/>
      </c>
      <c r="J26">
        <f>SUM(J5:J24)</f>
        <v/>
      </c>
      <c r="K26">
        <f>SUM(K5:K24)</f>
        <v/>
      </c>
      <c r="L26">
        <f>SUM(L5:L24)</f>
        <v/>
      </c>
      <c r="M26">
        <f>SUM(M5:M24)</f>
        <v/>
      </c>
      <c r="N26">
        <f>SUM(N5:N24)</f>
        <v/>
      </c>
      <c r="O26">
        <f>SUM(O5:O24)</f>
        <v/>
      </c>
      <c r="P26">
        <f>SUM(P5:P24)</f>
        <v/>
      </c>
      <c r="R26">
        <f>SUM(R5:R24)</f>
        <v/>
      </c>
      <c r="S26">
        <f>SUM(S5:S24)</f>
        <v/>
      </c>
      <c r="T26">
        <f>SUM(T5:T24)</f>
        <v/>
      </c>
      <c r="U26">
        <f>SUM(U5:U24)</f>
        <v/>
      </c>
      <c r="V26" s="6">
        <f>IF(S26=0,"",U26/S26)</f>
        <v/>
      </c>
    </row>
  </sheetData>
  <autoFilter ref="A4:V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80" customWidth="1" min="2" max="2"/>
  </cols>
  <sheetData>
    <row r="1" ht="34" customHeight="1">
      <c r="A1" s="1" t="inlineStr">
        <is>
          <t>参数</t>
        </is>
      </c>
      <c r="B1" s="1" t="inlineStr">
        <is>
          <t>暂定值（可调整）</t>
        </is>
      </c>
    </row>
    <row r="2">
      <c r="A2" t="inlineStr">
        <is>
          <t>海运人民币/CBM</t>
        </is>
      </c>
      <c r="B2" t="n">
        <v>800</v>
      </c>
    </row>
    <row r="3">
      <c r="A3" t="inlineStr">
        <is>
          <t>国内人民币/CBM</t>
        </is>
      </c>
      <c r="B3" t="n">
        <v>200</v>
      </c>
    </row>
    <row r="4">
      <c r="A4" t="inlineStr">
        <is>
          <t>税基系数</t>
        </is>
      </c>
      <c r="B4" t="n">
        <v>0.29</v>
      </c>
    </row>
    <row r="5">
      <c r="A5" t="inlineStr">
        <is>
          <t>税率</t>
        </is>
      </c>
      <c r="B5" t="n">
        <v>0.13</v>
      </c>
    </row>
    <row r="6">
      <c r="A6" t="inlineStr">
        <is>
          <t>贴标人民币/箱</t>
        </is>
      </c>
      <c r="B6" t="n">
        <v>4</v>
      </c>
    </row>
    <row r="7">
      <c r="A7" t="inlineStr">
        <is>
          <t>清关人民币/整票</t>
        </is>
      </c>
      <c r="B7" t="n">
        <v>1500</v>
      </c>
    </row>
    <row r="8">
      <c r="A8" t="inlineStr">
        <is>
          <t>报关人民币/整票</t>
        </is>
      </c>
      <c r="B8" t="n">
        <v>350</v>
      </c>
    </row>
    <row r="9">
      <c r="A9" t="inlineStr">
        <is>
          <t>日元兑人民币</t>
        </is>
      </c>
      <c r="B9" t="n">
        <v>0.047</v>
      </c>
    </row>
    <row r="10">
      <c r="A10" t="inlineStr">
        <is>
          <t>固定费分摊</t>
        </is>
      </c>
      <c r="B10" t="inlineStr">
        <is>
          <t>(清关+报关) × 单款CBM / 整票CBM，仅计一次</t>
        </is>
      </c>
    </row>
    <row r="11">
      <c r="A11" t="inlineStr">
        <is>
          <t>税金人民币</t>
        </is>
      </c>
      <c r="B11" t="inlineStr">
        <is>
          <t>申报售价JPY × 数量 × 税基系数 × 税率 × 汇率</t>
        </is>
      </c>
    </row>
    <row r="12">
      <c r="A12" t="inlineStr">
        <is>
          <t>贡献利润</t>
        </is>
      </c>
      <c r="B12" t="inlineStr">
        <is>
          <t>销售额人民币 − 采购成本 − 头程 − 平台佣金及尾程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4" customHeight="1">
      <c r="A1" s="7" t="inlineStr">
        <is>
          <t>使用说明</t>
        </is>
      </c>
    </row>
    <row r="2">
      <c r="A2" s="8" t="inlineStr">
        <is>
          <t>每张表对应一票货，可填 20 款产品。不要将多票费用放入同表。</t>
        </is>
      </c>
    </row>
    <row r="3">
      <c r="A3" s="8" t="inlineStr">
        <is>
          <t>价格币种：出厂价人民币，申报售价/销售价/平台单件费日元；汇率人民币/日元。</t>
        </is>
      </c>
    </row>
    <row r="4">
      <c r="A4" s="8" t="inlineStr">
        <is>
          <t>固定清关 1500 + 报关 350 为整票人民币费用，按 CBM 占比分摊。</t>
        </is>
      </c>
    </row>
    <row r="5">
      <c r="A5" s="8" t="inlineStr">
        <is>
          <t>删除两条示例行 A–I 的输入值后再填真实记录；不要删除公式列。</t>
        </is>
      </c>
    </row>
    <row r="6">
      <c r="A6" s="8" t="inlineStr">
        <is>
          <t>贡献利润不含广告、仓储、退款等未录入费用，不是最终净利润。</t>
        </is>
      </c>
    </row>
    <row r="7">
      <c r="A7" s="8" t="inlineStr">
        <is>
          <t>预估参数暂定，不是实际账单。实际加权成本使用网站「实际头程账单」功能。</t>
        </is>
      </c>
    </row>
    <row r="8">
      <c r="A8" s="8" t="inlineStr">
        <is>
          <t>历史加权公式：(历史基数数量×历史单价 + 新批次实际总额) ÷ 总数量。</t>
        </is>
      </c>
    </row>
    <row r="9">
      <c r="A9" s="8" t="inlineStr">
        <is>
          <t>历史基数截至日期后才计入新实际账单，避免重复成本。</t>
        </is>
      </c>
    </row>
    <row r="10">
      <c r="A10" s="8" t="inlineStr">
        <is>
          <t>不支持英国、德国：需要用户提供指定技能正文后实现。</t>
        </is>
      </c>
    </row>
    <row r="11">
      <c r="A11" s="8" t="inlineStr">
        <is>
          <t>Excel 打开时自动重新计算公式；本文件不会读取或同步网站库存。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2026-10-23T10:03:36Z</dcterms:created>
  <dcterms:modified xmlns:dcterms="http://purl.org/dc/terms/" xmlns:xsi="http://www.w3.org/2001/XMLSchema-instance" xsi:type="dcterms:W3CDTF">2026-10-23T10:03:36Z</dcterms:modified>
</cp:coreProperties>
</file>